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ac\Home\Documents\bond_project\jcb_analytics\"/>
    </mc:Choice>
  </mc:AlternateContent>
  <xr:revisionPtr revIDLastSave="0" documentId="13_ncr:1_{E526BFAC-A697-4AD9-8D1E-49D8F91809A4}" xr6:coauthVersionLast="47" xr6:coauthVersionMax="47" xr10:uidLastSave="{00000000-0000-0000-0000-000000000000}"/>
  <bookViews>
    <workbookView xWindow="1410" yWindow="5175" windowWidth="28800" windowHeight="15383" xr2:uid="{A8D1220E-4C9D-F14B-83E4-DB431C770888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jGet_Instrumen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 a="1"/>
  <c r="E6" i="1"/>
  <c r="E7" i="1" a="1"/>
  <c r="E7" i="1"/>
  <c r="E8" i="1" a="1"/>
  <c r="E8" i="1"/>
  <c r="E9" i="1" a="1"/>
  <c r="E9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E20" i="1" a="1"/>
  <c r="E20" i="1"/>
  <c r="E21" i="1" a="1"/>
  <c r="E21" i="1"/>
  <c r="E22" i="1" a="1"/>
  <c r="E22" i="1"/>
  <c r="E23" i="1" a="1"/>
  <c r="E23" i="1"/>
  <c r="E24" i="1" a="1"/>
  <c r="E24" i="1"/>
  <c r="E25" i="1" a="1"/>
  <c r="E25" i="1"/>
  <c r="E26" i="1" a="1"/>
  <c r="E26" i="1"/>
  <c r="E27" i="1" a="1"/>
  <c r="E27" i="1"/>
  <c r="E28" i="1" a="1"/>
  <c r="E28" i="1"/>
  <c r="E29" i="1" a="1"/>
  <c r="E29" i="1"/>
  <c r="E30" i="1" a="1"/>
  <c r="E30" i="1"/>
  <c r="E31" i="1" a="1"/>
  <c r="E31" i="1"/>
  <c r="E32" i="1" a="1"/>
  <c r="E32" i="1"/>
  <c r="E33" i="1" a="1"/>
  <c r="E33" i="1"/>
  <c r="E34" i="1" a="1"/>
  <c r="E34" i="1"/>
  <c r="E35" i="1" a="1"/>
  <c r="E35" i="1"/>
  <c r="E36" i="1" a="1"/>
  <c r="E36" i="1"/>
  <c r="E37" i="1" a="1"/>
  <c r="E37" i="1"/>
  <c r="E38" i="1" a="1"/>
  <c r="E38" i="1"/>
  <c r="E39" i="1" a="1"/>
  <c r="E39" i="1"/>
  <c r="E40" i="1" a="1"/>
  <c r="E40" i="1"/>
  <c r="E41" i="1" a="1"/>
  <c r="E41" i="1"/>
  <c r="E42" i="1" a="1"/>
  <c r="E42" i="1"/>
  <c r="E43" i="1" a="1"/>
  <c r="E43" i="1"/>
  <c r="E44" i="1" a="1"/>
  <c r="E44" i="1"/>
  <c r="E45" i="1" a="1"/>
  <c r="E45" i="1"/>
  <c r="E46" i="1" a="1"/>
  <c r="E46" i="1"/>
  <c r="E47" i="1" a="1"/>
  <c r="E47" i="1"/>
  <c r="E48" i="1" a="1"/>
  <c r="E48" i="1"/>
  <c r="E49" i="1" a="1"/>
  <c r="E49" i="1"/>
  <c r="E50" i="1" a="1"/>
  <c r="E50" i="1"/>
  <c r="E51" i="1" a="1"/>
  <c r="E51" i="1"/>
  <c r="E52" i="1" a="1"/>
  <c r="E52" i="1"/>
  <c r="E53" i="1" a="1"/>
  <c r="E53" i="1"/>
  <c r="E54" i="1" a="1"/>
  <c r="E54" i="1"/>
  <c r="E55" i="1" a="1"/>
  <c r="E55" i="1"/>
  <c r="E56" i="1" a="1"/>
  <c r="E56" i="1"/>
  <c r="E57" i="1" a="1"/>
  <c r="E57" i="1"/>
  <c r="E58" i="1" a="1"/>
  <c r="E58" i="1"/>
  <c r="E59" i="1" a="1"/>
  <c r="E59" i="1"/>
  <c r="E60" i="1" a="1"/>
  <c r="E60" i="1"/>
  <c r="E61" i="1" a="1"/>
  <c r="E61" i="1"/>
  <c r="E62" i="1" a="1"/>
  <c r="E62" i="1"/>
  <c r="E63" i="1" a="1"/>
  <c r="E63" i="1"/>
  <c r="E64" i="1" a="1"/>
  <c r="E64" i="1"/>
  <c r="E65" i="1" a="1"/>
  <c r="E65" i="1"/>
  <c r="E66" i="1" a="1"/>
  <c r="E66" i="1"/>
  <c r="E67" i="1" a="1"/>
  <c r="E67" i="1"/>
  <c r="E68" i="1" a="1"/>
  <c r="E68" i="1"/>
  <c r="E69" i="1" a="1"/>
  <c r="E69" i="1"/>
  <c r="E70" i="1" a="1"/>
  <c r="E70" i="1"/>
  <c r="E71" i="1" a="1"/>
  <c r="E71" i="1"/>
  <c r="E72" i="1" a="1"/>
  <c r="E72" i="1"/>
  <c r="E73" i="1" a="1"/>
  <c r="E73" i="1"/>
  <c r="E74" i="1" a="1"/>
  <c r="E74" i="1"/>
  <c r="E75" i="1" a="1"/>
  <c r="E75" i="1"/>
  <c r="E76" i="1" a="1"/>
  <c r="E76" i="1"/>
  <c r="E77" i="1" a="1"/>
  <c r="E77" i="1"/>
  <c r="E78" i="1" a="1"/>
  <c r="E78" i="1"/>
  <c r="E79" i="1" a="1"/>
  <c r="E79" i="1"/>
  <c r="E80" i="1" a="1"/>
  <c r="E80" i="1"/>
  <c r="E81" i="1" a="1"/>
  <c r="E81" i="1"/>
  <c r="E82" i="1" a="1"/>
  <c r="E82" i="1"/>
  <c r="E83" i="1" a="1"/>
  <c r="E83" i="1"/>
  <c r="E84" i="1" a="1"/>
  <c r="E84" i="1"/>
  <c r="E85" i="1" a="1"/>
  <c r="E85" i="1"/>
  <c r="E86" i="1" a="1"/>
  <c r="E86" i="1"/>
  <c r="E87" i="1" a="1"/>
  <c r="E87" i="1"/>
  <c r="E88" i="1" a="1"/>
  <c r="E88" i="1"/>
  <c r="E89" i="1" a="1"/>
  <c r="E89" i="1"/>
  <c r="E90" i="1" a="1"/>
  <c r="E90" i="1"/>
  <c r="E91" i="1" a="1"/>
  <c r="E91" i="1"/>
  <c r="E92" i="1" a="1"/>
  <c r="E92" i="1"/>
  <c r="E93" i="1" a="1"/>
  <c r="E93" i="1"/>
  <c r="E94" i="1" a="1"/>
  <c r="E94" i="1"/>
  <c r="E95" i="1" a="1"/>
  <c r="E95" i="1"/>
  <c r="E96" i="1" a="1"/>
  <c r="E96" i="1"/>
  <c r="E97" i="1" a="1"/>
  <c r="E97" i="1"/>
  <c r="E98" i="1" a="1"/>
  <c r="E98" i="1"/>
  <c r="E99" i="1" a="1"/>
  <c r="E99" i="1"/>
  <c r="E100" i="1" a="1"/>
  <c r="E100" i="1"/>
  <c r="E101" i="1" a="1"/>
  <c r="E101" i="1"/>
  <c r="E102" i="1" a="1"/>
  <c r="E102" i="1"/>
  <c r="E103" i="1" a="1"/>
  <c r="E103" i="1"/>
  <c r="E104" i="1" a="1"/>
  <c r="E104" i="1"/>
  <c r="E105" i="1" a="1"/>
  <c r="E105" i="1"/>
  <c r="E5" i="1" a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<sst xmlns="http://schemas.openxmlformats.org/spreadsheetml/2006/main" count="101" uniqueCount="101">
  <si>
    <t>GB00BK5CVX03</t>
  </si>
  <si>
    <t>GB00BTHH2R79</t>
  </si>
  <si>
    <t>GB00BPCJD880</t>
  </si>
  <si>
    <t>GB00BL68HJ26</t>
  </si>
  <si>
    <t>GB00BYZW3G56</t>
  </si>
  <si>
    <t>GB00BNNGP668</t>
  </si>
  <si>
    <t>GB00BL6C7720</t>
  </si>
  <si>
    <t>GB00BPSNB460</t>
  </si>
  <si>
    <t>GB00BDRHNP05</t>
  </si>
  <si>
    <t>GB00B16NNR78</t>
  </si>
  <si>
    <t>GB00BMBL1G81</t>
  </si>
  <si>
    <t>GB00BSQNRC93</t>
  </si>
  <si>
    <t>GB00BMF9LG83</t>
  </si>
  <si>
    <t>GB00BFX0ZL78</t>
  </si>
  <si>
    <t>GB0002404191</t>
  </si>
  <si>
    <t>GB00BLPK7227</t>
  </si>
  <si>
    <t>GB00BQC82B83</t>
  </si>
  <si>
    <t>GB00BJMHB534</t>
  </si>
  <si>
    <t>GB00BSQNRD01</t>
  </si>
  <si>
    <t>GB00BL68HH02</t>
  </si>
  <si>
    <t>GB00B24FF097</t>
  </si>
  <si>
    <t>GB00BMGR2809</t>
  </si>
  <si>
    <t>GB00BPSNBF73</t>
  </si>
  <si>
    <t>GB00BM8Z2T38</t>
  </si>
  <si>
    <t>GB0004893086</t>
  </si>
  <si>
    <t>GB00BMV7TC88</t>
  </si>
  <si>
    <t>GB00BM8Z2S21</t>
  </si>
  <si>
    <t>GB00BPJJKN53</t>
  </si>
  <si>
    <t>GB00BQC82C90</t>
  </si>
  <si>
    <t>GB00B52WS153</t>
  </si>
  <si>
    <t>GB00BT7J0027</t>
  </si>
  <si>
    <t>GB00BMGR2916</t>
  </si>
  <si>
    <t>GB0032452392</t>
  </si>
  <si>
    <t>GB00BZB26Y51</t>
  </si>
  <si>
    <t>GB00BQC4R999</t>
  </si>
  <si>
    <t>GB00B00NY175</t>
  </si>
  <si>
    <t>GB00BLPK7334</t>
  </si>
  <si>
    <t>GB00B3KJDS62</t>
  </si>
  <si>
    <t>GB00BQC82D08</t>
  </si>
  <si>
    <t>GB00B6460505</t>
  </si>
  <si>
    <t>GB00BJQWYH73</t>
  </si>
  <si>
    <t>GB00B1VWPJ53</t>
  </si>
  <si>
    <t>GB00BPJJKP77</t>
  </si>
  <si>
    <t>GB00B84Z9V04</t>
  </si>
  <si>
    <t>GB00BN65R313</t>
  </si>
  <si>
    <t>GB00BNNGP775</t>
  </si>
  <si>
    <t>GB00B128DP45</t>
  </si>
  <si>
    <t>GB00BDCHBW80</t>
  </si>
  <si>
    <t>GB00BFWFPP71</t>
  </si>
  <si>
    <t>GB00B39R3707</t>
  </si>
  <si>
    <t>GB00BMBL1F74</t>
  </si>
  <si>
    <t>GB00BLH38158</t>
  </si>
  <si>
    <t>GB00B6RNH572</t>
  </si>
  <si>
    <t>GB00BM8Z2V59</t>
  </si>
  <si>
    <t>GB00BPCJD997</t>
  </si>
  <si>
    <t>GB00BPSNBB36</t>
  </si>
  <si>
    <t>GB00BJLR0J16</t>
  </si>
  <si>
    <t>GB00B06YGN05</t>
  </si>
  <si>
    <t>GB00BT7J0241</t>
  </si>
  <si>
    <t>GB00BD0XH204</t>
  </si>
  <si>
    <t>GB00B54QLM75</t>
  </si>
  <si>
    <t>GB00BMBL1D50</t>
  </si>
  <si>
    <t>GB00BMF9LF76</t>
  </si>
  <si>
    <t>GB00BYYMZX75</t>
  </si>
  <si>
    <t>GB00BBJNQY21</t>
  </si>
  <si>
    <t>GB00BFMCN652</t>
  </si>
  <si>
    <t>GB00BLBDX619</t>
  </si>
  <si>
    <t>GB00BYY5F144</t>
  </si>
  <si>
    <t>GB00B128DH60</t>
  </si>
  <si>
    <t>GB00BZ1NTB69</t>
  </si>
  <si>
    <t>GB00B3Y1JG82</t>
  </si>
  <si>
    <t>GB00BNNGP551</t>
  </si>
  <si>
    <t>GB00B3D4VD98</t>
  </si>
  <si>
    <t>GB00BMF9LJ15</t>
  </si>
  <si>
    <t>GB00B46CGH68</t>
  </si>
  <si>
    <t>GB00BT7HZZ68</t>
  </si>
  <si>
    <t>GB00BYZW3J87</t>
  </si>
  <si>
    <t>GB00B1L6W962</t>
  </si>
  <si>
    <t>GB00BLH38265</t>
  </si>
  <si>
    <t>GB00B3LZBF68</t>
  </si>
  <si>
    <t>GB00BGDYHF49</t>
  </si>
  <si>
    <t>GB00B3MYD345</t>
  </si>
  <si>
    <t>GB00B7RN0G65</t>
  </si>
  <si>
    <t>GB00BMF9LH90</t>
  </si>
  <si>
    <t>GB00BYMWG366</t>
  </si>
  <si>
    <t>GB00B24FFM16</t>
  </si>
  <si>
    <t>GB00BZ13DV40</t>
  </si>
  <si>
    <t>GB00BT7J0134</t>
  </si>
  <si>
    <t>GB00B421JZ66</t>
  </si>
  <si>
    <t>GB00BNNGP882</t>
  </si>
  <si>
    <t>GB00B73ZYW09</t>
  </si>
  <si>
    <t>GB00BPSNBG80</t>
  </si>
  <si>
    <t>GB00B0CNHZ09</t>
  </si>
  <si>
    <t>GB00BYVP4K94</t>
  </si>
  <si>
    <t>GB00BP9DLZ64</t>
  </si>
  <si>
    <t>GB00B4PTCY75</t>
  </si>
  <si>
    <t>GB00BD9MZZ71</t>
  </si>
  <si>
    <t>GB00BDX8CX86</t>
  </si>
  <si>
    <t>GB00BM8Z2W66</t>
  </si>
  <si>
    <t>GB0008932666</t>
  </si>
  <si>
    <t>GB0031790826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</si>
</sst>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99AC4-1C1C-A845-A36F-396BF476FB06}">
  <sheetPr codeName="Sheet1"/>
  <dimension ref="C5:E105"/>
  <sheetViews>
    <sheetView tabSelected="1" topLeftCell="A3" zoomScale="85" zoomScaleNormal="85" workbookViewId="0">
      <selection activeCell="E28" sqref="E28"/>
    </sheetView>
  </sheetViews>
  <sheetFormatPr defaultColWidth="11" defaultRowHeight="15.75" x14ac:dyDescent="0.5"/>
  <cols>
    <col min="3" max="3" width="15.6875" customWidth="1"/>
  </cols>
  <sheetData>
    <row r="5" spans="3:5" x14ac:dyDescent="0.5">
      <c r="C5" s="1" t="s">
        <v>0</v>
      </c>
      <c r="E5" cm="1">
        <f t="array" ref="E5">jGet_Instrument_Data(C5,"amount_outstanding")</f>
        <v>44622.873</v>
      </c>
    </row>
    <row r="6" spans="3:5" x14ac:dyDescent="0.5">
      <c r="C6" s="1" t="s">
        <v>1</v>
      </c>
      <c r="E6" cm="1">
        <f t="array" ref="E6">jGet_Instrument_Data(C6,"amount_outstanding")</f>
        <v>40343.000999999997</v>
      </c>
    </row>
    <row r="7" spans="3:5" x14ac:dyDescent="0.5">
      <c r="C7" s="1" t="s">
        <v>2</v>
      </c>
      <c r="E7" cm="1">
        <f t="array" ref="E7">jGet_Instrument_Data(C7,"amount_outstanding")</f>
        <v>36016.345999999998</v>
      </c>
    </row>
    <row r="8" spans="3:5" x14ac:dyDescent="0.5">
      <c r="C8" s="1" t="s">
        <v>3</v>
      </c>
      <c r="E8" cm="1">
        <f t="array" ref="E8">jGet_Instrument_Data(C8,"amount_outstanding")</f>
        <v>41177.697999999997</v>
      </c>
    </row>
    <row r="9" spans="3:5" x14ac:dyDescent="0.5">
      <c r="C9" s="1" t="s">
        <v>4</v>
      </c>
      <c r="E9" cm="1">
        <f t="array" ref="E9">jGet_Instrument_Data(C9,"amount_outstanding")</f>
        <v>44673.737999999998</v>
      </c>
    </row>
    <row r="10" spans="3:5" x14ac:dyDescent="0.5">
      <c r="C10" s="1" t="s">
        <v>5</v>
      </c>
      <c r="E10" cm="1">
        <f t="array" ref="E10">jGet_Instrument_Data(C10,"amount_outstanding")</f>
        <v>33660.597999999998</v>
      </c>
    </row>
    <row r="11" spans="3:5" x14ac:dyDescent="0.5">
      <c r="C11" s="1" t="s">
        <v>6</v>
      </c>
      <c r="E11" cm="1">
        <f t="array" ref="E11">jGet_Instrument_Data(C11,"amount_outstanding")</f>
        <v>33031.061000000002</v>
      </c>
    </row>
    <row r="12" spans="3:5" x14ac:dyDescent="0.5">
      <c r="C12" s="1" t="s">
        <v>7</v>
      </c>
      <c r="E12" cm="1">
        <f t="array" ref="E12">jGet_Instrument_Data(C12,"amount_outstanding")</f>
        <v>37352.749000000003</v>
      </c>
    </row>
    <row r="13" spans="3:5" x14ac:dyDescent="0.5">
      <c r="C13" s="1" t="s">
        <v>8</v>
      </c>
      <c r="E13" cm="1">
        <f t="array" ref="E13">jGet_Instrument_Data(C13,"amount_outstanding")</f>
        <v>41947.822</v>
      </c>
    </row>
    <row r="14" spans="3:5" x14ac:dyDescent="0.5">
      <c r="C14" s="1" t="s">
        <v>9</v>
      </c>
      <c r="E14" cm="1">
        <f t="array" ref="E14">jGet_Instrument_Data(C14,"amount_outstanding")</f>
        <v>33776.822999999997</v>
      </c>
    </row>
    <row r="15" spans="3:5" x14ac:dyDescent="0.5">
      <c r="C15" s="1" t="s">
        <v>10</v>
      </c>
      <c r="E15" cm="1">
        <f t="array" ref="E15">jGet_Instrument_Data(C15,"amount_outstanding")</f>
        <v>35260.276999999995</v>
      </c>
    </row>
    <row r="16" spans="3:5" x14ac:dyDescent="0.5">
      <c r="C16" s="1" t="s">
        <v>11</v>
      </c>
      <c r="E16" cm="1">
        <f t="array" ref="E16">jGet_Instrument_Data(C16,"amount_outstanding")</f>
        <v>24816.744999999995</v>
      </c>
    </row>
    <row r="17" spans="3:5" x14ac:dyDescent="0.5">
      <c r="C17" s="1" t="s">
        <v>12</v>
      </c>
      <c r="E17" cm="1">
        <f t="array" ref="E17">jGet_Instrument_Data(C17,"amount_outstanding")</f>
        <v>35216.987999999998</v>
      </c>
    </row>
    <row r="18" spans="3:5" x14ac:dyDescent="0.5">
      <c r="C18" s="1" t="s">
        <v>13</v>
      </c>
      <c r="E18" cm="1">
        <f t="array" ref="E18">jGet_Instrument_Data(C18,"amount_outstanding")</f>
        <v>38743.345000000001</v>
      </c>
    </row>
    <row r="19" spans="3:5" x14ac:dyDescent="0.5">
      <c r="C19" s="1" t="s">
        <v>14</v>
      </c>
      <c r="E19" cm="1">
        <f t="array" ref="E19">jGet_Instrument_Data(C19,"amount_outstanding")</f>
        <v>20730.554559820004</v>
      </c>
    </row>
    <row r="20" spans="3:5" x14ac:dyDescent="0.5">
      <c r="C20" s="1" t="s">
        <v>15</v>
      </c>
      <c r="E20" cm="1">
        <f t="array" ref="E20">jGet_Instrument_Data(C20,"amount_outstanding")</f>
        <v>29597.494999999995</v>
      </c>
    </row>
    <row r="21" spans="3:5" x14ac:dyDescent="0.5">
      <c r="C21" s="1" t="s">
        <v>16</v>
      </c>
      <c r="E21" cm="1">
        <f t="array" ref="E21">jGet_Instrument_Data(C21,"amount_outstanding")</f>
        <v>37986.998</v>
      </c>
    </row>
    <row r="22" spans="3:5" x14ac:dyDescent="0.5">
      <c r="C22" s="1" t="s">
        <v>17</v>
      </c>
      <c r="E22" cm="1">
        <f t="array" ref="E22">jGet_Instrument_Data(C22,"amount_outstanding")</f>
        <v>44643.059000000001</v>
      </c>
    </row>
    <row r="23" spans="3:5" x14ac:dyDescent="0.5">
      <c r="C23" s="1" t="s">
        <v>18</v>
      </c>
      <c r="E23" cm="1">
        <f t="array" ref="E23">jGet_Instrument_Data(C23,"amount_outstanding")</f>
        <v>24199.247000000003</v>
      </c>
    </row>
    <row r="24" spans="3:5" x14ac:dyDescent="0.5">
      <c r="C24" s="1" t="s">
        <v>19</v>
      </c>
      <c r="E24" cm="1">
        <f t="array" ref="E24">jGet_Instrument_Data(C24,"amount_outstanding")</f>
        <v>39816.747000000003</v>
      </c>
    </row>
    <row r="25" spans="3:5" x14ac:dyDescent="0.5">
      <c r="C25" s="1" t="s">
        <v>20</v>
      </c>
      <c r="E25" cm="1">
        <f t="array" ref="E25">jGet_Instrument_Data(C25,"amount_outstanding")</f>
        <v>43823.380570000001</v>
      </c>
    </row>
    <row r="26" spans="3:5" x14ac:dyDescent="0.5">
      <c r="C26" s="1" t="s">
        <v>21</v>
      </c>
      <c r="E26" cm="1">
        <f t="array" ref="E26">jGet_Instrument_Data(C26,"amount_outstanding")</f>
        <v>41587.911</v>
      </c>
    </row>
    <row r="27" spans="3:5" x14ac:dyDescent="0.5">
      <c r="C27" s="1" t="s">
        <v>22</v>
      </c>
      <c r="E27" cm="1">
        <f t="array" ref="E27">jGet_Instrument_Data(C27,"amount_outstanding")</f>
        <v>32623.370999999996</v>
      </c>
    </row>
    <row r="28" spans="3:5" x14ac:dyDescent="0.5">
      <c r="C28" s="1" t="s">
        <v>23</v>
      </c>
      <c r="E28" cm="1">
        <f t="array" ref="E28">jGet_Instrument_Data(C28,"amount_outstanding")</f>
        <v>36801.370999999999</v>
      </c>
    </row>
    <row r="29" spans="3:5" x14ac:dyDescent="0.5">
      <c r="C29" s="1" t="s">
        <v>24</v>
      </c>
      <c r="E29" cm="1">
        <f t="array" ref="E29">jGet_Instrument_Data(C29,"amount_outstanding")</f>
        <v>41276.149499079998</v>
      </c>
    </row>
    <row r="30" spans="3:5" x14ac:dyDescent="0.5">
      <c r="C30" s="1" t="s">
        <v>25</v>
      </c>
      <c r="E30" cm="1">
        <f t="array" ref="E30">jGet_Instrument_Data(C30,"amount_outstanding")</f>
        <v>34175.120000000003</v>
      </c>
    </row>
    <row r="31" spans="3:5" x14ac:dyDescent="0.5">
      <c r="C31" s="1" t="s">
        <v>26</v>
      </c>
      <c r="E31" cm="1">
        <f t="array" ref="E31">jGet_Instrument_Data(C31,"amount_outstanding")</f>
        <v>37033</v>
      </c>
    </row>
    <row r="32" spans="3:5" x14ac:dyDescent="0.5">
      <c r="C32" s="1" t="s">
        <v>27</v>
      </c>
      <c r="E32" cm="1">
        <f t="array" ref="E32">jGet_Instrument_Data(C32,"amount_outstanding")</f>
        <v>32512.329000000005</v>
      </c>
    </row>
    <row r="33" spans="3:5" x14ac:dyDescent="0.5">
      <c r="C33" s="1" t="s">
        <v>28</v>
      </c>
      <c r="E33" cm="1">
        <f t="array" ref="E33">jGet_Instrument_Data(C33,"amount_outstanding")</f>
        <v>36102.634999999995</v>
      </c>
    </row>
    <row r="34" spans="3:5" x14ac:dyDescent="0.5">
      <c r="C34" s="1" t="s">
        <v>29</v>
      </c>
      <c r="E34" cm="1">
        <f t="array" ref="E34">jGet_Instrument_Data(C34,"amount_outstanding")</f>
        <v>37112.28300000001</v>
      </c>
    </row>
    <row r="35" spans="3:5" x14ac:dyDescent="0.5">
      <c r="C35" s="1" t="s">
        <v>30</v>
      </c>
      <c r="E35" cm="1">
        <f t="array" ref="E35">jGet_Instrument_Data(C35,"amount_outstanding")</f>
        <v>26115.41</v>
      </c>
    </row>
    <row r="36" spans="3:5" x14ac:dyDescent="0.5">
      <c r="C36" s="1" t="s">
        <v>31</v>
      </c>
      <c r="E36" cm="1">
        <f t="array" ref="E36">jGet_Instrument_Data(C36,"amount_outstanding")</f>
        <v>35633.85</v>
      </c>
    </row>
    <row r="37" spans="3:5" x14ac:dyDescent="0.5">
      <c r="C37" s="1" t="s">
        <v>32</v>
      </c>
      <c r="E37" cm="1">
        <f t="array" ref="E37">jGet_Instrument_Data(C37,"amount_outstanding")</f>
        <v>32424.933000000005</v>
      </c>
    </row>
    <row r="38" spans="3:5" x14ac:dyDescent="0.5">
      <c r="C38" s="1" t="s">
        <v>33</v>
      </c>
      <c r="E38" cm="1">
        <f t="array" ref="E38">jGet_Instrument_Data(C38,"amount_outstanding")</f>
        <v>32718.310000000005</v>
      </c>
    </row>
    <row r="39" spans="3:5" x14ac:dyDescent="0.5">
      <c r="C39" s="1" t="s">
        <v>34</v>
      </c>
      <c r="E39" cm="1">
        <f t="array" ref="E39">jGet_Instrument_Data(C39,"amount_outstanding")</f>
        <v>32888.555999999997</v>
      </c>
    </row>
    <row r="40" spans="3:5" x14ac:dyDescent="0.5">
      <c r="C40" s="1" t="s">
        <v>35</v>
      </c>
      <c r="E40" cm="1">
        <f t="array" ref="E40">jGet_Instrument_Data(C40,"amount_outstanding")</f>
        <v>27455.902999999998</v>
      </c>
    </row>
    <row r="41" spans="3:5" x14ac:dyDescent="0.5">
      <c r="C41" s="1" t="s">
        <v>36</v>
      </c>
      <c r="E41" cm="1">
        <f t="array" ref="E41">jGet_Instrument_Data(C41,"amount_outstanding")</f>
        <v>24950.623000000003</v>
      </c>
    </row>
    <row r="42" spans="3:5" x14ac:dyDescent="0.5">
      <c r="C42" s="1" t="s">
        <v>37</v>
      </c>
      <c r="E42" cm="1">
        <f t="array" ref="E42">jGet_Instrument_Data(C42,"amount_outstanding")</f>
        <v>24802.827000000001</v>
      </c>
    </row>
    <row r="43" spans="3:5" x14ac:dyDescent="0.5">
      <c r="C43" s="1" t="s">
        <v>38</v>
      </c>
      <c r="E43" cm="1">
        <f t="array" ref="E43">jGet_Instrument_Data(C43,"amount_outstanding")</f>
        <v>24113.5</v>
      </c>
    </row>
    <row r="44" spans="3:5" x14ac:dyDescent="0.5">
      <c r="C44" s="1" t="s">
        <v>39</v>
      </c>
      <c r="E44" cm="1">
        <f t="array" ref="E44">jGet_Instrument_Data(C44,"amount_outstanding")</f>
        <v>27069.098999999998</v>
      </c>
    </row>
    <row r="45" spans="3:5" x14ac:dyDescent="0.5">
      <c r="C45" s="1" t="s">
        <v>40</v>
      </c>
      <c r="E45" cm="1">
        <f t="array" ref="E45">jGet_Instrument_Data(C45,"amount_outstanding")</f>
        <v>34610.167000000001</v>
      </c>
    </row>
    <row r="46" spans="3:5" x14ac:dyDescent="0.5">
      <c r="C46" s="1" t="s">
        <v>41</v>
      </c>
      <c r="E46" cm="1">
        <f t="array" ref="E46">jGet_Instrument_Data(C46,"amount_outstanding")</f>
        <v>29019.281999999996</v>
      </c>
    </row>
    <row r="47" spans="3:5" x14ac:dyDescent="0.5">
      <c r="C47" s="1" t="s">
        <v>42</v>
      </c>
      <c r="E47" cm="1">
        <f t="array" ref="E47">jGet_Instrument_Data(C47,"amount_outstanding")</f>
        <v>33064.986999999994</v>
      </c>
    </row>
    <row r="48" spans="3:5" x14ac:dyDescent="0.5">
      <c r="C48" s="1" t="s">
        <v>43</v>
      </c>
      <c r="E48" cm="1">
        <f t="array" ref="E48">jGet_Instrument_Data(C48,"amount_outstanding")</f>
        <v>29790.571</v>
      </c>
    </row>
    <row r="49" spans="3:5" x14ac:dyDescent="0.5">
      <c r="C49" s="1" t="s">
        <v>44</v>
      </c>
      <c r="E49" cm="1">
        <f t="array" ref="E49">jGet_Instrument_Data(C49,"amount_outstanding")</f>
        <v>30093.409000000003</v>
      </c>
    </row>
    <row r="50" spans="3:5" x14ac:dyDescent="0.5">
      <c r="C50" s="1" t="s">
        <v>45</v>
      </c>
      <c r="E50" cm="1">
        <f t="array" ref="E50">jGet_Instrument_Data(C50,"amount_outstanding")</f>
        <v>23521.624</v>
      </c>
    </row>
    <row r="51" spans="3:5" x14ac:dyDescent="0.5">
      <c r="C51" s="1" t="s">
        <v>46</v>
      </c>
      <c r="E51" cm="1">
        <f t="array" ref="E51">jGet_Instrument_Data(C51,"amount_outstanding")</f>
        <v>25714.239000000005</v>
      </c>
    </row>
    <row r="52" spans="3:5" x14ac:dyDescent="0.5">
      <c r="C52" s="1" t="s">
        <v>47</v>
      </c>
      <c r="E52" cm="1">
        <f t="array" ref="E52">jGet_Instrument_Data(C52,"amount_outstanding")</f>
        <v>26325.428</v>
      </c>
    </row>
    <row r="53" spans="3:5" x14ac:dyDescent="0.5">
      <c r="C53" s="1" t="s">
        <v>48</v>
      </c>
      <c r="E53" cm="1">
        <f t="array" ref="E53">jGet_Instrument_Data(C53,"amount_outstanding")</f>
        <v>30932.766999999996</v>
      </c>
    </row>
    <row r="54" spans="3:5" x14ac:dyDescent="0.5">
      <c r="C54" s="1" t="s">
        <v>49</v>
      </c>
      <c r="E54" cm="1">
        <f t="array" ref="E54">jGet_Instrument_Data(C54,"amount_outstanding")</f>
        <v>21541.401999999998</v>
      </c>
    </row>
    <row r="55" spans="3:5" x14ac:dyDescent="0.5">
      <c r="C55" s="1" t="s">
        <v>50</v>
      </c>
      <c r="E55" cm="1">
        <f t="array" ref="E55">jGet_Instrument_Data(C55,"amount_outstanding")</f>
        <v>32663.870999999999</v>
      </c>
    </row>
    <row r="56" spans="3:5" x14ac:dyDescent="0.5">
      <c r="C56" s="1" t="s">
        <v>51</v>
      </c>
      <c r="E56" cm="1">
        <f t="array" ref="E56">jGet_Instrument_Data(C56,"amount_outstanding")</f>
        <v>29538.746999999996</v>
      </c>
    </row>
    <row r="57" spans="3:5" x14ac:dyDescent="0.5">
      <c r="C57" s="1" t="s">
        <v>52</v>
      </c>
      <c r="E57" cm="1">
        <f t="array" ref="E57">jGet_Instrument_Data(C57,"amount_outstanding")</f>
        <v>25703.10099997</v>
      </c>
    </row>
    <row r="58" spans="3:5" x14ac:dyDescent="0.5">
      <c r="C58" s="1" t="s">
        <v>53</v>
      </c>
      <c r="E58" cm="1">
        <f t="array" ref="E58">jGet_Instrument_Data(C58,"amount_outstanding")</f>
        <v>26928</v>
      </c>
    </row>
    <row r="59" spans="3:5" x14ac:dyDescent="0.5">
      <c r="C59" s="1" t="s">
        <v>54</v>
      </c>
      <c r="E59" cm="1">
        <f t="array" ref="E59">jGet_Instrument_Data(C59,"amount_outstanding")</f>
        <v>28287.996999999996</v>
      </c>
    </row>
    <row r="60" spans="3:5" x14ac:dyDescent="0.5">
      <c r="C60" s="1" t="s">
        <v>55</v>
      </c>
      <c r="E60" cm="1">
        <f t="array" ref="E60">jGet_Instrument_Data(C60,"amount_outstanding")</f>
        <v>32127.87</v>
      </c>
    </row>
    <row r="61" spans="3:5" x14ac:dyDescent="0.5">
      <c r="C61" s="1" t="s">
        <v>56</v>
      </c>
      <c r="E61" cm="1">
        <f t="array" ref="E61">jGet_Instrument_Data(C61,"amount_outstanding")</f>
        <v>25158.057999999997</v>
      </c>
    </row>
    <row r="62" spans="3:5" x14ac:dyDescent="0.5">
      <c r="C62" s="1" t="s">
        <v>57</v>
      </c>
      <c r="E62" cm="1">
        <f t="array" ref="E62">jGet_Instrument_Data(C62,"amount_outstanding")</f>
        <v>28320.177000000003</v>
      </c>
    </row>
    <row r="63" spans="3:5" x14ac:dyDescent="0.5">
      <c r="C63" s="1" t="s">
        <v>58</v>
      </c>
      <c r="E63" cm="1">
        <f t="array" ref="E63">jGet_Instrument_Data(C63,"amount_outstanding")</f>
        <v>3999.9999999999995</v>
      </c>
    </row>
    <row r="64" spans="3:5" x14ac:dyDescent="0.5">
      <c r="C64" s="1" t="s">
        <v>59</v>
      </c>
      <c r="E64" cm="1">
        <f t="array" ref="E64">jGet_Instrument_Data(C64,"amount_outstanding")</f>
        <v>31462.492999999999</v>
      </c>
    </row>
    <row r="65" spans="3:5" x14ac:dyDescent="0.5">
      <c r="C65" s="1" t="s">
        <v>60</v>
      </c>
      <c r="E65" cm="1">
        <f t="array" ref="E65">jGet_Instrument_Data(C65,"amount_outstanding")</f>
        <v>25722.409</v>
      </c>
    </row>
    <row r="66" spans="3:5" x14ac:dyDescent="0.5">
      <c r="C66" s="1" t="s">
        <v>61</v>
      </c>
      <c r="E66" cm="1">
        <f t="array" ref="E66">jGet_Instrument_Data(C66,"amount_outstanding")</f>
        <v>26493.249</v>
      </c>
    </row>
    <row r="67" spans="3:5" x14ac:dyDescent="0.5">
      <c r="C67" s="1" t="s">
        <v>62</v>
      </c>
      <c r="E67" cm="1">
        <f t="array" ref="E67">jGet_Instrument_Data(C67,"amount_outstanding")</f>
        <v>17119.248</v>
      </c>
    </row>
    <row r="68" spans="3:5" x14ac:dyDescent="0.5">
      <c r="C68" s="1" t="s">
        <v>63</v>
      </c>
      <c r="E68" cm="1">
        <f t="array" ref="E68">jGet_Instrument_Data(C68,"amount_outstanding")</f>
        <v>21057.883999999998</v>
      </c>
    </row>
    <row r="69" spans="3:5" x14ac:dyDescent="0.5">
      <c r="C69" s="1" t="s">
        <v>64</v>
      </c>
      <c r="E69" cm="1">
        <f t="array" ref="E69">jGet_Instrument_Data(C69,"amount_outstanding")</f>
        <v>21230.448000000004</v>
      </c>
    </row>
    <row r="70" spans="3:5" x14ac:dyDescent="0.5">
      <c r="C70" s="1" t="s">
        <v>65</v>
      </c>
      <c r="E70" cm="1">
        <f t="array" ref="E70">jGet_Instrument_Data(C70,"amount_outstanding")</f>
        <v>24725.322999999997</v>
      </c>
    </row>
    <row r="71" spans="3:5" x14ac:dyDescent="0.5">
      <c r="C71" s="1" t="s">
        <v>66</v>
      </c>
      <c r="E71" cm="1">
        <f t="array" ref="E71">jGet_Instrument_Data(C71,"amount_outstanding")</f>
        <v>11111</v>
      </c>
    </row>
    <row r="72" spans="3:5" x14ac:dyDescent="0.5">
      <c r="C72" s="1" t="s">
        <v>67</v>
      </c>
      <c r="E72" cm="1">
        <f t="array" ref="E72">jGet_Instrument_Data(C72,"amount_outstanding")</f>
        <v>13454.768</v>
      </c>
    </row>
    <row r="73" spans="3:5" x14ac:dyDescent="0.5">
      <c r="C73" s="1" t="s">
        <v>68</v>
      </c>
      <c r="E73" cm="1">
        <f t="array" ref="E73">jGet_Instrument_Data(C73,"amount_outstanding")</f>
        <v>14170.199000000001</v>
      </c>
    </row>
    <row r="74" spans="3:5" x14ac:dyDescent="0.5">
      <c r="C74" s="1" t="s">
        <v>69</v>
      </c>
      <c r="E74" cm="1">
        <f t="array" ref="E74">jGet_Instrument_Data(C74,"amount_outstanding")</f>
        <v>17936.985000000001</v>
      </c>
    </row>
    <row r="75" spans="3:5" x14ac:dyDescent="0.5">
      <c r="C75" s="1" t="s">
        <v>70</v>
      </c>
      <c r="E75" cm="1">
        <f t="array" ref="E75">jGet_Instrument_Data(C75,"amount_outstanding")</f>
        <v>15458.788999999999</v>
      </c>
    </row>
    <row r="76" spans="3:5" x14ac:dyDescent="0.5">
      <c r="C76" s="1" t="s">
        <v>71</v>
      </c>
      <c r="E76" cm="1">
        <f t="array" ref="E76">jGet_Instrument_Data(C76,"amount_outstanding")</f>
        <v>11504.038</v>
      </c>
    </row>
    <row r="77" spans="3:5" x14ac:dyDescent="0.5">
      <c r="C77" s="1" t="s">
        <v>72</v>
      </c>
      <c r="E77" cm="1">
        <f t="array" ref="E77">jGet_Instrument_Data(C77,"amount_outstanding")</f>
        <v>14656.667000000001</v>
      </c>
    </row>
    <row r="78" spans="3:5" x14ac:dyDescent="0.5">
      <c r="C78" s="1" t="s">
        <v>73</v>
      </c>
      <c r="E78" cm="1">
        <f t="array" ref="E78">jGet_Instrument_Data(C78,"amount_outstanding")</f>
        <v>18109.723000000002</v>
      </c>
    </row>
    <row r="79" spans="3:5" x14ac:dyDescent="0.5">
      <c r="C79" s="1" t="s">
        <v>74</v>
      </c>
      <c r="E79" cm="1">
        <f t="array" ref="E79">jGet_Instrument_Data(C79,"amount_outstanding")</f>
        <v>14570.332000000002</v>
      </c>
    </row>
    <row r="80" spans="3:5" x14ac:dyDescent="0.5">
      <c r="C80" s="1" t="s">
        <v>75</v>
      </c>
      <c r="E80" cm="1">
        <f t="array" ref="E80">jGet_Instrument_Data(C80,"amount_outstanding")</f>
        <v>5352.2749999999996</v>
      </c>
    </row>
    <row r="81" spans="3:5" x14ac:dyDescent="0.5">
      <c r="C81" s="1" t="s">
        <v>76</v>
      </c>
      <c r="E81" cm="1">
        <f t="array" ref="E81">jGet_Instrument_Data(C81,"amount_outstanding")</f>
        <v>13904.708999999999</v>
      </c>
    </row>
    <row r="82" spans="3:5" x14ac:dyDescent="0.5">
      <c r="C82" s="1" t="s">
        <v>77</v>
      </c>
      <c r="E82" cm="1">
        <f t="array" ref="E82">jGet_Instrument_Data(C82,"amount_outstanding")</f>
        <v>13065.68</v>
      </c>
    </row>
    <row r="83" spans="3:5" x14ac:dyDescent="0.5">
      <c r="C83" s="1" t="s">
        <v>78</v>
      </c>
      <c r="E83" cm="1">
        <f t="array" ref="E83">jGet_Instrument_Data(C83,"amount_outstanding")</f>
        <v>14621.019999999997</v>
      </c>
    </row>
    <row r="84" spans="3:5" x14ac:dyDescent="0.5">
      <c r="C84" s="1" t="s">
        <v>79</v>
      </c>
      <c r="E84" cm="1">
        <f t="array" ref="E84">jGet_Instrument_Data(C84,"amount_outstanding")</f>
        <v>14090.029883000001</v>
      </c>
    </row>
    <row r="85" spans="3:5" x14ac:dyDescent="0.5">
      <c r="C85" s="1" t="s">
        <v>80</v>
      </c>
      <c r="E85" cm="1">
        <f t="array" ref="E85">jGet_Instrument_Data(C85,"amount_outstanding")</f>
        <v>12446.999000000002</v>
      </c>
    </row>
    <row r="86" spans="3:5" x14ac:dyDescent="0.5">
      <c r="C86" s="1" t="s">
        <v>81</v>
      </c>
      <c r="E86" cm="1">
        <f t="array" ref="E86">jGet_Instrument_Data(C86,"amount_outstanding")</f>
        <v>12559.257</v>
      </c>
    </row>
    <row r="87" spans="3:5" x14ac:dyDescent="0.5">
      <c r="C87" s="1" t="s">
        <v>82</v>
      </c>
      <c r="E87" cm="1">
        <f t="array" ref="E87">jGet_Instrument_Data(C87,"amount_outstanding")</f>
        <v>15725.522000000003</v>
      </c>
    </row>
    <row r="88" spans="3:5" x14ac:dyDescent="0.5">
      <c r="C88" s="1" t="s">
        <v>83</v>
      </c>
      <c r="E88" cm="1">
        <f t="array" ref="E88">jGet_Instrument_Data(C88,"amount_outstanding")</f>
        <v>13398.174000000001</v>
      </c>
    </row>
    <row r="89" spans="3:5" x14ac:dyDescent="0.5">
      <c r="C89" s="1" t="s">
        <v>84</v>
      </c>
      <c r="E89" cm="1">
        <f t="array" ref="E89">jGet_Instrument_Data(C89,"amount_outstanding")</f>
        <v>13485.567999989998</v>
      </c>
    </row>
    <row r="90" spans="3:5" x14ac:dyDescent="0.5">
      <c r="C90" s="1" t="s">
        <v>85</v>
      </c>
      <c r="E90" cm="1">
        <f t="array" ref="E90">jGet_Instrument_Data(C90,"amount_outstanding")</f>
        <v>11686.64</v>
      </c>
    </row>
    <row r="91" spans="3:5" x14ac:dyDescent="0.5">
      <c r="C91" s="1" t="s">
        <v>86</v>
      </c>
      <c r="E91" cm="1">
        <f t="array" ref="E91">jGet_Instrument_Data(C91,"amount_outstanding")</f>
        <v>11780.815000000001</v>
      </c>
    </row>
    <row r="92" spans="3:5" x14ac:dyDescent="0.5">
      <c r="C92" s="1" t="s">
        <v>87</v>
      </c>
      <c r="E92" cm="1">
        <f t="array" ref="E92">jGet_Instrument_Data(C92,"amount_outstanding")</f>
        <v>5000</v>
      </c>
    </row>
    <row r="93" spans="3:5" x14ac:dyDescent="0.5">
      <c r="C93" s="1" t="s">
        <v>88</v>
      </c>
      <c r="E93" cm="1">
        <f t="array" ref="E93">jGet_Instrument_Data(C93,"amount_outstanding")</f>
        <v>12221.183198999999</v>
      </c>
    </row>
    <row r="94" spans="3:5" x14ac:dyDescent="0.5">
      <c r="C94" s="1" t="s">
        <v>89</v>
      </c>
      <c r="E94" cm="1">
        <f t="array" ref="E94">jGet_Instrument_Data(C94,"amount_outstanding")</f>
        <v>11039.548999999997</v>
      </c>
    </row>
    <row r="95" spans="3:5" x14ac:dyDescent="0.5">
      <c r="C95" s="1" t="s">
        <v>90</v>
      </c>
      <c r="E95" cm="1">
        <f t="array" ref="E95">jGet_Instrument_Data(C95,"amount_outstanding")</f>
        <v>12366.02</v>
      </c>
    </row>
    <row r="96" spans="3:5" x14ac:dyDescent="0.5">
      <c r="C96" s="1" t="s">
        <v>91</v>
      </c>
      <c r="E96" cm="1">
        <f t="array" ref="E96">jGet_Instrument_Data(C96,"amount_outstanding")</f>
        <v>15050.075000000003</v>
      </c>
    </row>
    <row r="97" spans="3:5" x14ac:dyDescent="0.5">
      <c r="C97" s="1" t="s">
        <v>92</v>
      </c>
      <c r="E97" cm="1">
        <f t="array" ref="E97">jGet_Instrument_Data(C97,"amount_outstanding")</f>
        <v>10169.1955</v>
      </c>
    </row>
    <row r="98" spans="3:5" x14ac:dyDescent="0.5">
      <c r="C98" s="1" t="s">
        <v>93</v>
      </c>
      <c r="E98" cm="1">
        <f t="array" ref="E98">jGet_Instrument_Data(C98,"amount_outstanding")</f>
        <v>7146.6049999999987</v>
      </c>
    </row>
    <row r="99" spans="3:5" x14ac:dyDescent="0.5">
      <c r="C99" s="1" t="s">
        <v>94</v>
      </c>
      <c r="E99" cm="1">
        <f t="array" ref="E99">jGet_Instrument_Data(C99,"amount_outstanding")</f>
        <v>10953.298000000001</v>
      </c>
    </row>
    <row r="100" spans="3:5" x14ac:dyDescent="0.5">
      <c r="C100" s="1" t="s">
        <v>95</v>
      </c>
      <c r="E100" cm="1">
        <f t="array" ref="E100">jGet_Instrument_Data(C100,"amount_outstanding")</f>
        <v>12479.736999999999</v>
      </c>
    </row>
    <row r="101" spans="3:5" x14ac:dyDescent="0.5">
      <c r="C101" s="1" t="s">
        <v>96</v>
      </c>
      <c r="E101" cm="1">
        <f t="array" ref="E101">jGet_Instrument_Data(C101,"amount_outstanding")</f>
        <v>8125</v>
      </c>
    </row>
    <row r="102" spans="3:5" x14ac:dyDescent="0.5">
      <c r="C102" s="1" t="s">
        <v>97</v>
      </c>
      <c r="E102" cm="1">
        <f t="array" ref="E102">jGet_Instrument_Data(C102,"amount_outstanding")</f>
        <v>12600</v>
      </c>
    </row>
    <row r="103" spans="3:5" x14ac:dyDescent="0.5">
      <c r="C103" s="1" t="s">
        <v>98</v>
      </c>
      <c r="E103" cm="1">
        <f t="array" ref="E103">jGet_Instrument_Data(C103,"amount_outstanding")</f>
        <v>5372.85</v>
      </c>
    </row>
    <row r="104" spans="3:5" x14ac:dyDescent="0.5">
      <c r="C104" s="1" t="s">
        <v>99</v>
      </c>
      <c r="E104" cm="1">
        <f t="array" ref="E104">jGet_Instrument_Data(C104,"amount_outstanding")</f>
        <v>4841.2389999999996</v>
      </c>
    </row>
    <row r="105" spans="3:5" x14ac:dyDescent="0.5">
      <c r="C105" s="1" t="s">
        <v>100</v>
      </c>
      <c r="E105" cm="1">
        <f t="array" ref="E105">jGet_Instrument_Data(C105,"amount_outstanding")</f>
        <v>9083.9889999999996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 Courcy-Bower</dc:creator>
  <cp:lastModifiedBy>John de Courcy-Bower</cp:lastModifiedBy>
  <dcterms:created xsi:type="dcterms:W3CDTF">2025-06-01T18:06:32Z</dcterms:created>
  <dcterms:modified xsi:type="dcterms:W3CDTF">2025-06-05T14:28:56Z</dcterms:modified>
</cp:coreProperties>
</file>